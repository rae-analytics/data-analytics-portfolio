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4" sheetId="2" r:id="rId5"/>
    <sheet state="visible" name="Pivot Table 3" sheetId="3" r:id="rId6"/>
    <sheet state="visible" name="Pivot Table 2" sheetId="4" r:id="rId7"/>
    <sheet state="visible" name="Detail1" sheetId="5" r:id="rId8"/>
    <sheet state="visible" name="Pivot Table 1" sheetId="6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<sst xmlns="http://schemas.openxmlformats.org/spreadsheetml/2006/main" count="208" uniqueCount="41">
  <si>
    <t>order_id</t>
  </si>
  <si>
    <t>order_date</t>
  </si>
  <si>
    <t>product_category</t>
  </si>
  <si>
    <t>product_name</t>
  </si>
  <si>
    <t>quantity</t>
  </si>
  <si>
    <t>unit_price</t>
  </si>
  <si>
    <t>total_sales</t>
  </si>
  <si>
    <t>customer_age</t>
  </si>
  <si>
    <t>customer_type</t>
  </si>
  <si>
    <t>Laptop</t>
  </si>
  <si>
    <t>HP Pavilion</t>
  </si>
  <si>
    <t>25-30</t>
  </si>
  <si>
    <t>New</t>
  </si>
  <si>
    <t>Phone</t>
  </si>
  <si>
    <t>iPhone 13</t>
  </si>
  <si>
    <t>18-25</t>
  </si>
  <si>
    <t xml:space="preserve">Returning </t>
  </si>
  <si>
    <t>Accessory</t>
  </si>
  <si>
    <t>Wirless Mouse</t>
  </si>
  <si>
    <t>26-35</t>
  </si>
  <si>
    <t>Dell inspiron</t>
  </si>
  <si>
    <t>36-45</t>
  </si>
  <si>
    <t>Laptop Bag</t>
  </si>
  <si>
    <t>Samsung Galaxy S22</t>
  </si>
  <si>
    <t xml:space="preserve"> MacBook Air  </t>
  </si>
  <si>
    <t>USB-C Adapter</t>
  </si>
  <si>
    <t>ThinkPad</t>
  </si>
  <si>
    <t>iPhone 14</t>
  </si>
  <si>
    <t>Phone Case</t>
  </si>
  <si>
    <t>Asus VivoBook</t>
  </si>
  <si>
    <t>Google Pixel 7</t>
  </si>
  <si>
    <t>Bluetooth Earbuds</t>
  </si>
  <si>
    <t>MacBook Pro</t>
  </si>
  <si>
    <t>Samsung Galaxy A54</t>
  </si>
  <si>
    <t>Screen Protector</t>
  </si>
  <si>
    <t>Acer Aspire</t>
  </si>
  <si>
    <t>Power Bank</t>
  </si>
  <si>
    <t>iPhone SE</t>
  </si>
  <si>
    <t>SUM of total_sales</t>
  </si>
  <si>
    <t>Grand Total</t>
  </si>
  <si>
    <t>Revenue Share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</si>
</sst>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5" fillId="0" fontId="1" numFmtId="164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Category Sales Breakdown by Customer 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4'!$A$3:$A$21</c:f>
            </c:strRef>
          </c:cat>
          <c:val>
            <c:numRef>
              <c:f>'Pivot Table 4'!$B$3:$B$21</c:f>
              <c:numCache/>
            </c:numRef>
          </c:val>
        </c:ser>
        <c:ser>
          <c:idx val="1"/>
          <c:order val="1"/>
          <c:tx>
            <c:strRef>
              <c:f>'Pivot Table 4'!$C$1:$C$2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4'!$A$3:$A$21</c:f>
            </c:strRef>
          </c:cat>
          <c:val>
            <c:numRef>
              <c:f>'Pivot Table 4'!$C$3:$C$21</c:f>
              <c:numCache/>
            </c:numRef>
          </c:val>
        </c:ser>
        <c:axId val="739556643"/>
        <c:axId val="1400722503"/>
      </c:barChart>
      <c:catAx>
        <c:axId val="739556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0722503"/>
      </c:catAx>
      <c:valAx>
        <c:axId val="1400722503"/>
        <c:scaling>
          <c:orientation val="minMax"/>
          <c:max val="8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9556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by Customer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2'!$A$2:$A$3</c:f>
            </c:strRef>
          </c:cat>
          <c:val>
            <c:numRef>
              <c:f>'Pivot Table 2'!$B$2:$B$3</c:f>
              <c:numCache/>
            </c:numRef>
          </c:val>
        </c:ser>
        <c:axId val="1157899934"/>
        <c:axId val="169579094"/>
      </c:barChart>
      <c:catAx>
        <c:axId val="1157899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579094"/>
      </c:catAx>
      <c:valAx>
        <c:axId val="169579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899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Product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1'!$A$2:$A$4</c:f>
            </c:strRef>
          </c:cat>
          <c:val>
            <c:numRef>
              <c:f>'Pivot Table 1'!$B$2:$B$4</c:f>
              <c:numCache/>
            </c:numRef>
          </c:val>
        </c:ser>
        <c:axId val="382735367"/>
        <c:axId val="1433186725"/>
      </c:barChart>
      <c:catAx>
        <c:axId val="382735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186725"/>
      </c:catAx>
      <c:valAx>
        <c:axId val="1433186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735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4</xdr:row>
      <xdr:rowOff>66675</xdr:rowOff>
    </xdr:from>
    <xdr:ext cx="57245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7</xdr:row>
      <xdr:rowOff>190500</xdr:rowOff>
    </xdr:from>
    <xdr:ext cx="4543425" cy="3038475"/>
    <xdr:pic>
      <xdr:nvPicPr>
        <xdr:cNvPr id="176835875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57150</xdr:rowOff>
    </xdr:from>
    <xdr:ext cx="5715000" cy="34194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57150</xdr:rowOff>
    </xdr:from>
    <xdr:ext cx="5715000" cy="32194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1" sheet="Sheet1"/>
  </cacheSource>
  <cacheFields>
    <cacheField name="order_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</sharedItems>
    </cacheField>
    <cacheField name="order_date" numFmtId="164">
      <sharedItems containsSemiMixedTypes="0" containsDate="1" containsString="0">
        <d v="2024-01-05T00:00:00Z"/>
        <d v="2024-01-06T00:00:00Z"/>
        <d v="2024-01-10T00:00:00Z"/>
        <d v="2024-01-12T00:00:00Z"/>
        <d v="2024-01-15T00:00:00Z"/>
        <d v="2024-01-18T00:00:00Z"/>
        <d v="2024-01-24T00:00:00Z"/>
        <d v="2024-02-03T00:00:00Z"/>
        <d v="2024-02-06T00:00:00Z"/>
        <d v="2024-02-08T00:00:00Z"/>
        <d v="2024-02-12T00:00:00Z"/>
        <d v="2024-02-15T00:00:00Z"/>
        <d v="2024-02-20T00:00:00Z"/>
        <d v="2024-03-01T00:00:00Z"/>
        <d v="2024-03-04T00:00:00Z"/>
        <d v="2024-03-06T00:00:00Z"/>
        <d v="2024-03-10T00:00:00Z"/>
        <d v="2024-03-12T00:00:00Z"/>
        <d v="2024-03-15T00:00:00Z"/>
      </sharedItems>
    </cacheField>
    <cacheField name="product_category" numFmtId="0">
      <sharedItems>
        <s v="Laptop"/>
        <s v="Phone"/>
        <s v="Accessory"/>
      </sharedItems>
    </cacheField>
    <cacheField name="product_name" numFmtId="0">
      <sharedItems>
        <s v="HP Pavilion"/>
        <s v="iPhone 13"/>
        <s v="Wirless Mouse"/>
        <s v="Dell inspiron"/>
        <s v="Laptop Bag"/>
        <s v="Samsung Galaxy S22"/>
        <s v=" MacBook Air  "/>
        <s v="USB-C Adapter"/>
        <s v="ThinkPad"/>
        <s v="iPhone 14"/>
        <s v="Phone Case"/>
        <s v="Asus VivoBook"/>
        <s v="Google Pixel 7"/>
        <s v="Bluetooth Earbuds"/>
        <s v="MacBook Pro"/>
        <s v="Samsung Galaxy A54"/>
        <s v="Screen Protector"/>
        <s v="Acer Aspire"/>
        <s v="Power Bank"/>
        <s v="iPhone SE"/>
      </sharedItems>
    </cacheField>
    <cacheField name="quantity" numFmtId="0">
      <sharedItems containsSemiMixedTypes="0" containsString="0" containsNumber="1" containsInteger="1">
        <n v="1.0"/>
        <n v="2.0"/>
        <n v="3.0"/>
      </sharedItems>
    </cacheField>
    <cacheField name="unit_price" numFmtId="0">
      <sharedItems containsSemiMixedTypes="0" containsString="0" containsNumber="1" containsInteger="1">
        <n v="650.0"/>
        <n v="750.0"/>
        <n v="25.0"/>
        <n v="700.0"/>
        <n v="45.0"/>
        <n v="680.0"/>
        <n v="1200.0"/>
        <n v="30.0"/>
        <n v="820.0"/>
        <n v="900.0"/>
        <n v="20.0"/>
        <n v="600.0"/>
        <n v="620.0"/>
        <n v="80.0"/>
        <n v="1500.0"/>
        <n v="400.0"/>
        <n v="15.0"/>
        <n v="550.0"/>
        <n v="60.0"/>
        <n v="430.0"/>
      </sharedItems>
    </cacheField>
    <cacheField name="total_sales" numFmtId="0">
      <sharedItems containsSemiMixedTypes="0" containsString="0" containsNumber="1" containsInteger="1">
        <n v="650.0"/>
        <n v="750.0"/>
        <n v="50.0"/>
        <n v="700.0"/>
        <n v="45.0"/>
        <n v="680.0"/>
        <n v="1200.0"/>
        <n v="30.0"/>
        <n v="820.0"/>
        <n v="900.0"/>
        <n v="40.0"/>
        <n v="600.0"/>
        <n v="620.0"/>
        <n v="80.0"/>
        <n v="1500.0"/>
        <n v="400.0"/>
        <n v="550.0"/>
        <n v="60.0"/>
        <n v="430.0"/>
      </sharedItems>
    </cacheField>
    <cacheField name="customer_age" numFmtId="0">
      <sharedItems>
        <s v="25-30"/>
        <s v="18-25"/>
        <s v="26-35"/>
        <s v="36-45"/>
      </sharedItems>
    </cacheField>
    <cacheField name="customer_type" numFmtId="0">
      <sharedItems>
        <s v="New"/>
        <s v="Returning 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4" cacheId="0" dataCaption="" compact="0" compactData="0">
  <location ref="A1:D6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oduct_category" axis="axisRow" compact="0" outline="0" multipleItemSelectionAllowed="1" showAll="0" sortType="ascending">
      <items>
        <item x="2"/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ustomer_age" compact="0" outline="0" multipleItemSelectionAllowed="1" showAll="0">
      <items>
        <item x="0"/>
        <item x="1"/>
        <item x="2"/>
        <item x="3"/>
        <item t="default"/>
      </items>
    </pivotField>
    <pivotField name="customer_type" axis="axisCol" compact="0" outline="0" multipleItemSelectionAllowed="1" showAll="0" sortType="ascending">
      <items>
        <item x="0"/>
        <item x="1"/>
        <item t="default"/>
      </items>
    </pivotField>
  </pivotFields>
  <rowFields>
    <field x="2"/>
  </rowFields>
  <colFields>
    <field x="8"/>
  </colFields>
  <dataFields>
    <dataField name="SUM of total_sales" fld="6" baseField="0"/>
  </dataFields>
</pivotTableDefinition>
</file>

<file path=xl/pivotTables/pivotTable2.xml><?xml version="1.0" encoding="utf-8"?>
<pivotTableDefinition xmlns="http://schemas.openxmlformats.org/spreadsheetml/2006/main" name="Pivot Table 3" cacheId="0" dataCaption="" compact="0" compactData="0">
  <location ref="A1:E22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rder_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oduct_category" axis="axisCol" compact="0" outline="0" multipleItemSelectionAllowed="1" showAll="0" sortType="ascending">
      <items>
        <item x="2"/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ustomer_age" compact="0" outline="0" multipleItemSelectionAllowed="1" showAll="0">
      <items>
        <item x="0"/>
        <item x="1"/>
        <item x="2"/>
        <item x="3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2"/>
  </colFields>
  <dataFields>
    <dataField name="SUM of total_sales" fld="6" baseField="0"/>
  </dataFields>
</pivotTableDefinition>
</file>

<file path=xl/pivotTables/pivotTable3.xml><?xml version="1.0" encoding="utf-8"?>
<pivotTableDefinition xmlns="http://schemas.openxmlformats.org/spreadsheetml/2006/main" name="Pivot Table 2" cacheId="0" dataCaption="" compact="0" compactData="0">
  <location ref="A1:B4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ustomer_age" compact="0" outline="0" multipleItemSelectionAllowed="1" showAll="0">
      <items>
        <item x="0"/>
        <item x="1"/>
        <item x="2"/>
        <item x="3"/>
        <item t="default"/>
      </items>
    </pivotField>
    <pivotField name="customer_type" axis="axisRow" compact="0" outline="0" multipleItemSelectionAllowed="1" showAll="0" sortType="ascending">
      <items>
        <item x="0"/>
        <item x="1"/>
        <item t="default"/>
      </items>
    </pivotField>
  </pivotFields>
  <rowFields>
    <field x="8"/>
  </rowFields>
  <dataFields>
    <dataField name="SUM of total_sales" fld="6" baseField="0"/>
  </dataFields>
</pivotTableDefinition>
</file>

<file path=xl/pivotTables/pivotTable4.xml><?xml version="1.0" encoding="utf-8"?>
<pivotTableDefinition xmlns="http://schemas.openxmlformats.org/spreadsheetml/2006/main" name="Pivot Table 1" cacheId="0" dataCaption="" compact="0" compactData="0">
  <location ref="A1:B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oduct_category" axis="axisRow" compact="0" outline="0" multipleItemSelectionAllowed="1" showAll="0" sortType="ascending">
      <items>
        <item x="2"/>
        <item x="0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ustomer_age" compact="0" outline="0" multipleItemSelectionAllowed="1" showAll="0">
      <items>
        <item x="0"/>
        <item x="1"/>
        <item x="2"/>
        <item x="3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total_sales" fld="6" baseField="0"/>
  </dataFields>
</pivotTableDefinition>
</file>

<file path=xl/tables/table1.xml><?xml version="1.0" encoding="utf-8"?>
<table xmlns="http://schemas.openxmlformats.org/spreadsheetml/2006/main" ref="A1:I21" displayName="Table_1" name="Table_1" id="1">
  <tableColumns count="9">
    <tableColumn name="order_id" id="1"/>
    <tableColumn name="order_date" id="2"/>
    <tableColumn name="product_category" id="3"/>
    <tableColumn name="product_name" id="4"/>
    <tableColumn name="quantity" id="5"/>
    <tableColumn name="unit_price" id="6"/>
    <tableColumn name="total_sales" id="7"/>
    <tableColumn name="customer_age" id="8"/>
    <tableColumn name="customer_type" id="9"/>
  </tableColumns>
  <tableStyleInfo name="Deta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1001.0</v>
      </c>
      <c r="B2" s="2">
        <v>45296.0</v>
      </c>
      <c r="C2" s="1" t="s">
        <v>9</v>
      </c>
      <c r="D2" s="1" t="s">
        <v>10</v>
      </c>
      <c r="E2" s="1">
        <v>1.0</v>
      </c>
      <c r="F2" s="1">
        <v>650.0</v>
      </c>
      <c r="G2" s="3">
        <f t="shared" ref="G2:G21" si="1">E2 * F2</f>
        <v>650</v>
      </c>
      <c r="H2" s="1" t="s">
        <v>11</v>
      </c>
      <c r="I2" s="1" t="s">
        <v>12</v>
      </c>
    </row>
    <row r="3">
      <c r="A3" s="1">
        <v>1002.0</v>
      </c>
      <c r="B3" s="2">
        <v>45297.0</v>
      </c>
      <c r="C3" s="1" t="s">
        <v>13</v>
      </c>
      <c r="D3" s="1" t="s">
        <v>14</v>
      </c>
      <c r="E3" s="1">
        <v>1.0</v>
      </c>
      <c r="F3" s="1">
        <v>750.0</v>
      </c>
      <c r="G3" s="3">
        <f t="shared" si="1"/>
        <v>750</v>
      </c>
      <c r="H3" s="1" t="s">
        <v>15</v>
      </c>
      <c r="I3" s="1" t="s">
        <v>16</v>
      </c>
    </row>
    <row r="4">
      <c r="A4" s="1">
        <v>1003.0</v>
      </c>
      <c r="B4" s="2">
        <v>45297.0</v>
      </c>
      <c r="C4" s="1" t="s">
        <v>17</v>
      </c>
      <c r="D4" s="1" t="s">
        <v>18</v>
      </c>
      <c r="E4" s="1">
        <v>2.0</v>
      </c>
      <c r="F4" s="1">
        <v>25.0</v>
      </c>
      <c r="G4" s="3">
        <f t="shared" si="1"/>
        <v>50</v>
      </c>
      <c r="H4" s="1" t="s">
        <v>19</v>
      </c>
      <c r="I4" s="1" t="s">
        <v>16</v>
      </c>
    </row>
    <row r="5">
      <c r="A5" s="1">
        <v>1004.0</v>
      </c>
      <c r="B5" s="2">
        <v>45301.0</v>
      </c>
      <c r="C5" s="1" t="s">
        <v>9</v>
      </c>
      <c r="D5" s="1" t="s">
        <v>20</v>
      </c>
      <c r="E5" s="1">
        <v>1.0</v>
      </c>
      <c r="F5" s="1">
        <v>700.0</v>
      </c>
      <c r="G5" s="3">
        <f t="shared" si="1"/>
        <v>700</v>
      </c>
      <c r="H5" s="1" t="s">
        <v>21</v>
      </c>
      <c r="I5" s="1" t="s">
        <v>12</v>
      </c>
    </row>
    <row r="6">
      <c r="A6" s="1">
        <v>1005.0</v>
      </c>
      <c r="B6" s="2">
        <v>45303.0</v>
      </c>
      <c r="C6" s="1" t="s">
        <v>17</v>
      </c>
      <c r="D6" s="1" t="s">
        <v>22</v>
      </c>
      <c r="E6" s="1">
        <v>1.0</v>
      </c>
      <c r="F6" s="1">
        <v>45.0</v>
      </c>
      <c r="G6" s="3">
        <f t="shared" si="1"/>
        <v>45</v>
      </c>
      <c r="H6" s="1" t="s">
        <v>19</v>
      </c>
      <c r="I6" s="1" t="s">
        <v>12</v>
      </c>
    </row>
    <row r="7">
      <c r="A7" s="1">
        <v>1006.0</v>
      </c>
      <c r="B7" s="2">
        <v>45306.0</v>
      </c>
      <c r="C7" s="1" t="s">
        <v>13</v>
      </c>
      <c r="D7" s="1" t="s">
        <v>23</v>
      </c>
      <c r="E7" s="1">
        <v>1.0</v>
      </c>
      <c r="F7" s="1">
        <v>680.0</v>
      </c>
      <c r="G7" s="3">
        <f t="shared" si="1"/>
        <v>680</v>
      </c>
      <c r="H7" s="1" t="s">
        <v>19</v>
      </c>
      <c r="I7" s="1" t="s">
        <v>16</v>
      </c>
    </row>
    <row r="8">
      <c r="A8" s="1">
        <v>1007.0</v>
      </c>
      <c r="B8" s="2">
        <v>45309.0</v>
      </c>
      <c r="C8" s="1" t="s">
        <v>9</v>
      </c>
      <c r="D8" s="1" t="s">
        <v>24</v>
      </c>
      <c r="E8" s="1">
        <v>1.0</v>
      </c>
      <c r="F8" s="1">
        <v>1200.0</v>
      </c>
      <c r="G8" s="3">
        <f t="shared" si="1"/>
        <v>1200</v>
      </c>
      <c r="H8" s="1" t="s">
        <v>15</v>
      </c>
      <c r="I8" s="1" t="s">
        <v>16</v>
      </c>
    </row>
    <row r="9">
      <c r="A9" s="1">
        <v>1008.0</v>
      </c>
      <c r="B9" s="2">
        <v>45315.0</v>
      </c>
      <c r="C9" s="1" t="s">
        <v>17</v>
      </c>
      <c r="D9" s="1" t="s">
        <v>25</v>
      </c>
      <c r="E9" s="1">
        <v>1.0</v>
      </c>
      <c r="F9" s="1">
        <v>30.0</v>
      </c>
      <c r="G9" s="3">
        <f t="shared" si="1"/>
        <v>30</v>
      </c>
      <c r="H9" s="1" t="s">
        <v>15</v>
      </c>
      <c r="I9" s="1" t="s">
        <v>16</v>
      </c>
    </row>
    <row r="10">
      <c r="A10" s="1">
        <v>1009.0</v>
      </c>
      <c r="B10" s="2">
        <v>45325.0</v>
      </c>
      <c r="C10" s="1" t="s">
        <v>9</v>
      </c>
      <c r="D10" s="1" t="s">
        <v>26</v>
      </c>
      <c r="E10" s="1">
        <v>1.0</v>
      </c>
      <c r="F10" s="1">
        <v>820.0</v>
      </c>
      <c r="G10" s="3">
        <f t="shared" si="1"/>
        <v>820</v>
      </c>
      <c r="H10" s="1" t="s">
        <v>21</v>
      </c>
      <c r="I10" s="1" t="s">
        <v>16</v>
      </c>
    </row>
    <row r="11">
      <c r="A11" s="1">
        <v>1010.0</v>
      </c>
      <c r="B11" s="2">
        <v>45328.0</v>
      </c>
      <c r="C11" s="1" t="s">
        <v>13</v>
      </c>
      <c r="D11" s="1" t="s">
        <v>27</v>
      </c>
      <c r="E11" s="1">
        <v>1.0</v>
      </c>
      <c r="F11" s="1">
        <v>900.0</v>
      </c>
      <c r="G11" s="3">
        <f t="shared" si="1"/>
        <v>900</v>
      </c>
      <c r="H11" s="1" t="s">
        <v>19</v>
      </c>
      <c r="I11" s="1" t="s">
        <v>12</v>
      </c>
    </row>
    <row r="12">
      <c r="A12" s="1">
        <v>1011.0</v>
      </c>
      <c r="B12" s="2">
        <v>45330.0</v>
      </c>
      <c r="C12" s="1" t="s">
        <v>17</v>
      </c>
      <c r="D12" s="1" t="s">
        <v>28</v>
      </c>
      <c r="E12" s="1">
        <v>2.0</v>
      </c>
      <c r="F12" s="1">
        <v>20.0</v>
      </c>
      <c r="G12" s="3">
        <f t="shared" si="1"/>
        <v>40</v>
      </c>
      <c r="H12" s="1" t="s">
        <v>15</v>
      </c>
      <c r="I12" s="1" t="s">
        <v>12</v>
      </c>
    </row>
    <row r="13">
      <c r="A13" s="1">
        <v>1012.0</v>
      </c>
      <c r="B13" s="2">
        <v>45334.0</v>
      </c>
      <c r="C13" s="1" t="s">
        <v>9</v>
      </c>
      <c r="D13" s="1" t="s">
        <v>29</v>
      </c>
      <c r="E13" s="1">
        <v>1.0</v>
      </c>
      <c r="F13" s="1">
        <v>600.0</v>
      </c>
      <c r="G13" s="3">
        <f t="shared" si="1"/>
        <v>600</v>
      </c>
      <c r="H13" s="1" t="s">
        <v>19</v>
      </c>
      <c r="I13" s="1" t="s">
        <v>16</v>
      </c>
    </row>
    <row r="14">
      <c r="A14" s="1">
        <v>1013.0</v>
      </c>
      <c r="B14" s="2">
        <v>45337.0</v>
      </c>
      <c r="C14" s="1" t="s">
        <v>13</v>
      </c>
      <c r="D14" s="1" t="s">
        <v>30</v>
      </c>
      <c r="E14" s="1">
        <v>1.0</v>
      </c>
      <c r="F14" s="1">
        <v>620.0</v>
      </c>
      <c r="G14" s="3">
        <f t="shared" si="1"/>
        <v>620</v>
      </c>
      <c r="H14" s="1" t="s">
        <v>21</v>
      </c>
      <c r="I14" s="1" t="s">
        <v>16</v>
      </c>
    </row>
    <row r="15">
      <c r="A15" s="1">
        <v>1014.0</v>
      </c>
      <c r="B15" s="2">
        <v>45342.0</v>
      </c>
      <c r="C15" s="1" t="s">
        <v>17</v>
      </c>
      <c r="D15" s="1" t="s">
        <v>31</v>
      </c>
      <c r="E15" s="1">
        <v>1.0</v>
      </c>
      <c r="F15" s="1">
        <v>80.0</v>
      </c>
      <c r="G15" s="3">
        <f t="shared" si="1"/>
        <v>80</v>
      </c>
      <c r="H15" s="1" t="s">
        <v>19</v>
      </c>
      <c r="I15" s="1" t="s">
        <v>16</v>
      </c>
    </row>
    <row r="16">
      <c r="A16" s="1">
        <v>1015.0</v>
      </c>
      <c r="B16" s="2">
        <v>45352.0</v>
      </c>
      <c r="C16" s="1" t="s">
        <v>9</v>
      </c>
      <c r="D16" s="1" t="s">
        <v>32</v>
      </c>
      <c r="E16" s="1">
        <v>1.0</v>
      </c>
      <c r="F16" s="1">
        <v>1500.0</v>
      </c>
      <c r="G16" s="3">
        <f t="shared" si="1"/>
        <v>1500</v>
      </c>
      <c r="H16" s="1" t="s">
        <v>19</v>
      </c>
      <c r="I16" s="1" t="s">
        <v>16</v>
      </c>
    </row>
    <row r="17">
      <c r="A17" s="1">
        <v>1016.0</v>
      </c>
      <c r="B17" s="2">
        <v>45355.0</v>
      </c>
      <c r="C17" s="1" t="s">
        <v>13</v>
      </c>
      <c r="D17" s="1" t="s">
        <v>33</v>
      </c>
      <c r="E17" s="1">
        <v>1.0</v>
      </c>
      <c r="F17" s="1">
        <v>400.0</v>
      </c>
      <c r="G17" s="3">
        <f t="shared" si="1"/>
        <v>400</v>
      </c>
      <c r="H17" s="1" t="s">
        <v>15</v>
      </c>
      <c r="I17" s="1" t="s">
        <v>12</v>
      </c>
    </row>
    <row r="18">
      <c r="A18" s="1">
        <v>1017.0</v>
      </c>
      <c r="B18" s="2">
        <v>45357.0</v>
      </c>
      <c r="C18" s="1" t="s">
        <v>17</v>
      </c>
      <c r="D18" s="1" t="s">
        <v>34</v>
      </c>
      <c r="E18" s="1">
        <v>3.0</v>
      </c>
      <c r="F18" s="1">
        <v>15.0</v>
      </c>
      <c r="G18" s="3">
        <f t="shared" si="1"/>
        <v>45</v>
      </c>
      <c r="H18" s="1" t="s">
        <v>15</v>
      </c>
      <c r="I18" s="1" t="s">
        <v>12</v>
      </c>
    </row>
    <row r="19">
      <c r="A19" s="1">
        <v>1018.0</v>
      </c>
      <c r="B19" s="2">
        <v>45361.0</v>
      </c>
      <c r="C19" s="1" t="s">
        <v>9</v>
      </c>
      <c r="D19" s="1" t="s">
        <v>35</v>
      </c>
      <c r="E19" s="1">
        <v>1.0</v>
      </c>
      <c r="F19" s="1">
        <v>550.0</v>
      </c>
      <c r="G19" s="3">
        <f t="shared" si="1"/>
        <v>550</v>
      </c>
      <c r="H19" s="1" t="s">
        <v>21</v>
      </c>
      <c r="I19" s="1" t="s">
        <v>12</v>
      </c>
    </row>
    <row r="20">
      <c r="A20" s="1">
        <v>1019.0</v>
      </c>
      <c r="B20" s="2">
        <v>45363.0</v>
      </c>
      <c r="C20" s="1" t="s">
        <v>17</v>
      </c>
      <c r="D20" s="1" t="s">
        <v>36</v>
      </c>
      <c r="E20" s="1">
        <v>1.0</v>
      </c>
      <c r="F20" s="1">
        <v>60.0</v>
      </c>
      <c r="G20" s="3">
        <f t="shared" si="1"/>
        <v>60</v>
      </c>
      <c r="H20" s="1" t="s">
        <v>19</v>
      </c>
      <c r="I20" s="1" t="s">
        <v>16</v>
      </c>
    </row>
    <row r="21">
      <c r="A21" s="1">
        <v>1020.0</v>
      </c>
      <c r="B21" s="2">
        <v>45366.0</v>
      </c>
      <c r="C21" s="1" t="s">
        <v>13</v>
      </c>
      <c r="D21" s="1" t="s">
        <v>37</v>
      </c>
      <c r="E21" s="1">
        <v>1.0</v>
      </c>
      <c r="F21" s="1">
        <v>430.0</v>
      </c>
      <c r="G21" s="3">
        <f t="shared" si="1"/>
        <v>430</v>
      </c>
      <c r="H21" s="1" t="s">
        <v>21</v>
      </c>
      <c r="I21" s="1" t="s">
        <v>16</v>
      </c>
    </row>
    <row r="22">
      <c r="G22" s="3">
        <f>SUM(G2:G21)</f>
        <v>10150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>
      <c r="A2" s="8">
        <v>1001.0</v>
      </c>
      <c r="B2" s="9">
        <v>45296.0</v>
      </c>
      <c r="C2" s="10" t="s">
        <v>9</v>
      </c>
      <c r="D2" s="10" t="s">
        <v>10</v>
      </c>
      <c r="E2" s="10">
        <v>1.0</v>
      </c>
      <c r="F2" s="10">
        <v>650.0</v>
      </c>
      <c r="G2" s="10">
        <v>650.0</v>
      </c>
      <c r="H2" s="10" t="s">
        <v>11</v>
      </c>
      <c r="I2" s="11" t="s">
        <v>12</v>
      </c>
    </row>
    <row r="3">
      <c r="A3" s="8">
        <v>1002.0</v>
      </c>
      <c r="B3" s="9">
        <v>45297.0</v>
      </c>
      <c r="C3" s="10" t="s">
        <v>13</v>
      </c>
      <c r="D3" s="10" t="s">
        <v>14</v>
      </c>
      <c r="E3" s="10">
        <v>1.0</v>
      </c>
      <c r="F3" s="10">
        <v>750.0</v>
      </c>
      <c r="G3" s="10">
        <v>750.0</v>
      </c>
      <c r="H3" s="10" t="s">
        <v>15</v>
      </c>
      <c r="I3" s="11" t="s">
        <v>16</v>
      </c>
    </row>
    <row r="4">
      <c r="A4" s="8">
        <v>1003.0</v>
      </c>
      <c r="B4" s="9">
        <v>45297.0</v>
      </c>
      <c r="C4" s="10" t="s">
        <v>17</v>
      </c>
      <c r="D4" s="10" t="s">
        <v>18</v>
      </c>
      <c r="E4" s="10">
        <v>2.0</v>
      </c>
      <c r="F4" s="10">
        <v>25.0</v>
      </c>
      <c r="G4" s="10">
        <v>50.0</v>
      </c>
      <c r="H4" s="10" t="s">
        <v>19</v>
      </c>
      <c r="I4" s="11" t="s">
        <v>16</v>
      </c>
    </row>
    <row r="5">
      <c r="A5" s="8">
        <v>1004.0</v>
      </c>
      <c r="B5" s="9">
        <v>45301.0</v>
      </c>
      <c r="C5" s="10" t="s">
        <v>9</v>
      </c>
      <c r="D5" s="10" t="s">
        <v>20</v>
      </c>
      <c r="E5" s="10">
        <v>1.0</v>
      </c>
      <c r="F5" s="10">
        <v>700.0</v>
      </c>
      <c r="G5" s="10">
        <v>700.0</v>
      </c>
      <c r="H5" s="10" t="s">
        <v>21</v>
      </c>
      <c r="I5" s="11" t="s">
        <v>12</v>
      </c>
    </row>
    <row r="6">
      <c r="A6" s="8">
        <v>1005.0</v>
      </c>
      <c r="B6" s="9">
        <v>45303.0</v>
      </c>
      <c r="C6" s="10" t="s">
        <v>17</v>
      </c>
      <c r="D6" s="10" t="s">
        <v>22</v>
      </c>
      <c r="E6" s="10">
        <v>1.0</v>
      </c>
      <c r="F6" s="10">
        <v>45.0</v>
      </c>
      <c r="G6" s="10">
        <v>45.0</v>
      </c>
      <c r="H6" s="10" t="s">
        <v>19</v>
      </c>
      <c r="I6" s="11" t="s">
        <v>12</v>
      </c>
    </row>
    <row r="7">
      <c r="A7" s="8">
        <v>1006.0</v>
      </c>
      <c r="B7" s="9">
        <v>45306.0</v>
      </c>
      <c r="C7" s="10" t="s">
        <v>13</v>
      </c>
      <c r="D7" s="10" t="s">
        <v>23</v>
      </c>
      <c r="E7" s="10">
        <v>1.0</v>
      </c>
      <c r="F7" s="10">
        <v>680.0</v>
      </c>
      <c r="G7" s="10">
        <v>680.0</v>
      </c>
      <c r="H7" s="10" t="s">
        <v>19</v>
      </c>
      <c r="I7" s="11" t="s">
        <v>16</v>
      </c>
    </row>
    <row r="8">
      <c r="A8" s="8">
        <v>1007.0</v>
      </c>
      <c r="B8" s="9">
        <v>45309.0</v>
      </c>
      <c r="C8" s="10" t="s">
        <v>9</v>
      </c>
      <c r="D8" s="10" t="s">
        <v>24</v>
      </c>
      <c r="E8" s="10">
        <v>1.0</v>
      </c>
      <c r="F8" s="10">
        <v>1200.0</v>
      </c>
      <c r="G8" s="10">
        <v>1200.0</v>
      </c>
      <c r="H8" s="10" t="s">
        <v>15</v>
      </c>
      <c r="I8" s="11" t="s">
        <v>16</v>
      </c>
    </row>
    <row r="9">
      <c r="A9" s="8">
        <v>1008.0</v>
      </c>
      <c r="B9" s="9">
        <v>45315.0</v>
      </c>
      <c r="C9" s="10" t="s">
        <v>17</v>
      </c>
      <c r="D9" s="10" t="s">
        <v>25</v>
      </c>
      <c r="E9" s="10">
        <v>1.0</v>
      </c>
      <c r="F9" s="10">
        <v>30.0</v>
      </c>
      <c r="G9" s="10">
        <v>30.0</v>
      </c>
      <c r="H9" s="10" t="s">
        <v>15</v>
      </c>
      <c r="I9" s="11" t="s">
        <v>16</v>
      </c>
    </row>
    <row r="10">
      <c r="A10" s="8">
        <v>1009.0</v>
      </c>
      <c r="B10" s="9">
        <v>45325.0</v>
      </c>
      <c r="C10" s="10" t="s">
        <v>9</v>
      </c>
      <c r="D10" s="10" t="s">
        <v>26</v>
      </c>
      <c r="E10" s="10">
        <v>1.0</v>
      </c>
      <c r="F10" s="10">
        <v>820.0</v>
      </c>
      <c r="G10" s="10">
        <v>820.0</v>
      </c>
      <c r="H10" s="10" t="s">
        <v>21</v>
      </c>
      <c r="I10" s="11" t="s">
        <v>16</v>
      </c>
    </row>
    <row r="11">
      <c r="A11" s="8">
        <v>1010.0</v>
      </c>
      <c r="B11" s="9">
        <v>45328.0</v>
      </c>
      <c r="C11" s="10" t="s">
        <v>13</v>
      </c>
      <c r="D11" s="10" t="s">
        <v>27</v>
      </c>
      <c r="E11" s="10">
        <v>1.0</v>
      </c>
      <c r="F11" s="10">
        <v>900.0</v>
      </c>
      <c r="G11" s="10">
        <v>900.0</v>
      </c>
      <c r="H11" s="10" t="s">
        <v>19</v>
      </c>
      <c r="I11" s="11" t="s">
        <v>12</v>
      </c>
    </row>
    <row r="12">
      <c r="A12" s="8">
        <v>1011.0</v>
      </c>
      <c r="B12" s="9">
        <v>45330.0</v>
      </c>
      <c r="C12" s="10" t="s">
        <v>17</v>
      </c>
      <c r="D12" s="10" t="s">
        <v>28</v>
      </c>
      <c r="E12" s="10">
        <v>2.0</v>
      </c>
      <c r="F12" s="10">
        <v>20.0</v>
      </c>
      <c r="G12" s="10">
        <v>40.0</v>
      </c>
      <c r="H12" s="10" t="s">
        <v>15</v>
      </c>
      <c r="I12" s="11" t="s">
        <v>12</v>
      </c>
    </row>
    <row r="13">
      <c r="A13" s="8">
        <v>1012.0</v>
      </c>
      <c r="B13" s="9">
        <v>45334.0</v>
      </c>
      <c r="C13" s="10" t="s">
        <v>9</v>
      </c>
      <c r="D13" s="10" t="s">
        <v>29</v>
      </c>
      <c r="E13" s="10">
        <v>1.0</v>
      </c>
      <c r="F13" s="10">
        <v>600.0</v>
      </c>
      <c r="G13" s="10">
        <v>600.0</v>
      </c>
      <c r="H13" s="10" t="s">
        <v>19</v>
      </c>
      <c r="I13" s="11" t="s">
        <v>16</v>
      </c>
    </row>
    <row r="14">
      <c r="A14" s="8">
        <v>1013.0</v>
      </c>
      <c r="B14" s="9">
        <v>45337.0</v>
      </c>
      <c r="C14" s="10" t="s">
        <v>13</v>
      </c>
      <c r="D14" s="10" t="s">
        <v>30</v>
      </c>
      <c r="E14" s="10">
        <v>1.0</v>
      </c>
      <c r="F14" s="10">
        <v>620.0</v>
      </c>
      <c r="G14" s="10">
        <v>620.0</v>
      </c>
      <c r="H14" s="10" t="s">
        <v>21</v>
      </c>
      <c r="I14" s="11" t="s">
        <v>16</v>
      </c>
    </row>
    <row r="15">
      <c r="A15" s="8">
        <v>1014.0</v>
      </c>
      <c r="B15" s="9">
        <v>45342.0</v>
      </c>
      <c r="C15" s="10" t="s">
        <v>17</v>
      </c>
      <c r="D15" s="10" t="s">
        <v>31</v>
      </c>
      <c r="E15" s="10">
        <v>1.0</v>
      </c>
      <c r="F15" s="10">
        <v>80.0</v>
      </c>
      <c r="G15" s="10">
        <v>80.0</v>
      </c>
      <c r="H15" s="10" t="s">
        <v>19</v>
      </c>
      <c r="I15" s="11" t="s">
        <v>16</v>
      </c>
    </row>
    <row r="16">
      <c r="A16" s="8">
        <v>1015.0</v>
      </c>
      <c r="B16" s="9">
        <v>45352.0</v>
      </c>
      <c r="C16" s="10" t="s">
        <v>9</v>
      </c>
      <c r="D16" s="10" t="s">
        <v>32</v>
      </c>
      <c r="E16" s="10">
        <v>1.0</v>
      </c>
      <c r="F16" s="10">
        <v>1500.0</v>
      </c>
      <c r="G16" s="10">
        <v>1500.0</v>
      </c>
      <c r="H16" s="10" t="s">
        <v>19</v>
      </c>
      <c r="I16" s="11" t="s">
        <v>16</v>
      </c>
    </row>
    <row r="17">
      <c r="A17" s="8">
        <v>1016.0</v>
      </c>
      <c r="B17" s="9">
        <v>45355.0</v>
      </c>
      <c r="C17" s="10" t="s">
        <v>13</v>
      </c>
      <c r="D17" s="10" t="s">
        <v>33</v>
      </c>
      <c r="E17" s="10">
        <v>1.0</v>
      </c>
      <c r="F17" s="10">
        <v>400.0</v>
      </c>
      <c r="G17" s="10">
        <v>400.0</v>
      </c>
      <c r="H17" s="10" t="s">
        <v>15</v>
      </c>
      <c r="I17" s="11" t="s">
        <v>12</v>
      </c>
    </row>
    <row r="18">
      <c r="A18" s="8">
        <v>1017.0</v>
      </c>
      <c r="B18" s="9">
        <v>45357.0</v>
      </c>
      <c r="C18" s="10" t="s">
        <v>17</v>
      </c>
      <c r="D18" s="10" t="s">
        <v>34</v>
      </c>
      <c r="E18" s="10">
        <v>3.0</v>
      </c>
      <c r="F18" s="10">
        <v>15.0</v>
      </c>
      <c r="G18" s="10">
        <v>45.0</v>
      </c>
      <c r="H18" s="10" t="s">
        <v>15</v>
      </c>
      <c r="I18" s="11" t="s">
        <v>12</v>
      </c>
    </row>
    <row r="19">
      <c r="A19" s="8">
        <v>1018.0</v>
      </c>
      <c r="B19" s="9">
        <v>45361.0</v>
      </c>
      <c r="C19" s="10" t="s">
        <v>9</v>
      </c>
      <c r="D19" s="10" t="s">
        <v>35</v>
      </c>
      <c r="E19" s="10">
        <v>1.0</v>
      </c>
      <c r="F19" s="10">
        <v>550.0</v>
      </c>
      <c r="G19" s="10">
        <v>550.0</v>
      </c>
      <c r="H19" s="10" t="s">
        <v>21</v>
      </c>
      <c r="I19" s="11" t="s">
        <v>12</v>
      </c>
    </row>
    <row r="20">
      <c r="A20" s="8">
        <v>1019.0</v>
      </c>
      <c r="B20" s="9">
        <v>45363.0</v>
      </c>
      <c r="C20" s="10" t="s">
        <v>17</v>
      </c>
      <c r="D20" s="10" t="s">
        <v>36</v>
      </c>
      <c r="E20" s="10">
        <v>1.0</v>
      </c>
      <c r="F20" s="10">
        <v>60.0</v>
      </c>
      <c r="G20" s="10">
        <v>60.0</v>
      </c>
      <c r="H20" s="10" t="s">
        <v>19</v>
      </c>
      <c r="I20" s="11" t="s">
        <v>16</v>
      </c>
    </row>
    <row r="21">
      <c r="A21" s="8">
        <v>1020.0</v>
      </c>
      <c r="B21" s="9">
        <v>45366.0</v>
      </c>
      <c r="C21" s="10" t="s">
        <v>13</v>
      </c>
      <c r="D21" s="10" t="s">
        <v>37</v>
      </c>
      <c r="E21" s="10">
        <v>1.0</v>
      </c>
      <c r="F21" s="10">
        <v>430.0</v>
      </c>
      <c r="G21" s="10">
        <v>430.0</v>
      </c>
      <c r="H21" s="10" t="s">
        <v>21</v>
      </c>
      <c r="I21" s="11" t="s">
        <v>16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1" t="s">
        <v>40</v>
      </c>
    </row>
    <row r="2">
      <c r="C2" s="12">
        <f t="shared" ref="C2:C4" si="1">B2/$B$5</f>
        <v>0.03448275862</v>
      </c>
    </row>
    <row r="3">
      <c r="C3" s="12">
        <f t="shared" si="1"/>
        <v>0.5931034483</v>
      </c>
    </row>
    <row r="4">
      <c r="C4" s="12">
        <f t="shared" si="1"/>
        <v>0.3724137931</v>
      </c>
    </row>
    <row r="5"/>
  </sheetData>
  <drawing r:id="rId2"/>
</worksheet>
</file>